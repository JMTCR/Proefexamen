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C026B480-071E-DA80-A48C-D3F380F32C35}"/>
  <workbookPr codeName="ThisWorkbook"/>
  <mc:AlternateContent xmlns:mc="http://schemas.openxmlformats.org/markup-compatibility/2006">
    <mc:Choice Requires="x15">
      <x15ac:absPath xmlns:x15ac="http://schemas.microsoft.com/office/spreadsheetml/2010/11/ac" url="C:\Users\justi\Downloads\"/>
    </mc:Choice>
  </mc:AlternateContent>
  <xr:revisionPtr revIDLastSave="0" documentId="13_ncr:1_{E9BFF225-B9EB-4F93-A690-02FB90B4ECD6}" xr6:coauthVersionLast="47" xr6:coauthVersionMax="47" xr10:uidLastSave="{00000000-0000-0000-0000-000000000000}"/>
  <bookViews>
    <workbookView xWindow="-108" yWindow="-108" windowWidth="23256" windowHeight="13176" tabRatio="840" firstSheet="6"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104" l="1"/>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8" i="101"/>
  <c r="B7" i="101"/>
  <c r="B6" i="101"/>
  <c r="C5" i="101"/>
  <c r="B5" i="101"/>
  <c r="D4" i="104" l="1"/>
  <c r="N24" i="104"/>
  <c r="B4" i="104" s="1"/>
  <c r="B8" i="104" s="1"/>
  <c r="B5" i="103"/>
  <c r="D40" i="103" s="1"/>
  <c r="N24" i="103"/>
  <c r="N24" i="102"/>
  <c r="B7" i="102" s="1"/>
  <c r="B6" i="104"/>
  <c r="B7" i="104"/>
  <c r="B7" i="103"/>
  <c r="B6" i="103"/>
  <c r="B4" i="103"/>
  <c r="B8" i="103" s="1"/>
  <c r="C40" i="103" s="1"/>
  <c r="B5" i="102"/>
  <c r="D32" i="102" s="1"/>
  <c r="B5" i="104"/>
  <c r="D4" i="103"/>
  <c r="D4" i="102"/>
  <c r="D38" i="103" l="1"/>
  <c r="D35" i="103"/>
  <c r="D32" i="103"/>
  <c r="D31"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1"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<sst xmlns="http://schemas.openxmlformats.org/spreadsheetml/2006/main" count="338" uniqueCount="155">
  <si>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</si>
  <si>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</si>
  <si>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</si>
  <si>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</si>
  <si>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</si>
  <si>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</si>
  <si>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</si>
  <si>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</si>
  <si>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</si>
  <si>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</si>
  <si>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</si>
  <si>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</si>
  <si>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</si>
  <si>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</si>
  <si>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</si>
  <si>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</si>
  <si>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</si>
  <si>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</si>
  <si>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</si>
  <si>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</si>
  <si>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</si>
  <si>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</si>
  <si>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</si>
  <si>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</si>
  <si>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</si>
  <si>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</si>
  <si>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</si>
  <si>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</si>
  <si>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</si>
  <si>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</si>
  <si>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</si>
  <si>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</si>
  <si>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</si>
  <si>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</si>
  <si>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</si>
  <si>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</si>
  <si>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</si>
  <si>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</si>
  <si>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</si>
  <si>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</si>
  <si>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</si>
  <si>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</si>
  <si>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</si>
  <si>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</si>
  <si>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</si>
  <si>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</si>
  <si>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</si>
  <si>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</si>
  <si>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</si>
  <si>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</si>
  <si>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</si>
  <si>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</si>
  <si>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</si>
  <si>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</si>
  <si>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</si>
  <si>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</si>
  <si>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</si>
  <si>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</si>
  <si>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</si>
  <si>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</si>
  <si>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</si>
  <si>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</si>
  <si>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</si>
  <si>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</si>
  <si>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</si>
  <si>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</si>
  <si>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</si>
  <si>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</si>
  <si>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</si>
  <si>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</si>
  <si>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</si>
  <si>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</si>
  <si>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</si>
  <si>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</si>
  <si>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</si>
  <si>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</si>
  <si>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</si>
  <si>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</si>
  <si>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</si>
  <si>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</si>
  <si>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</si>
  <si>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</si>
  <si>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</si>
  <si>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</si>
  <si>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</si>
  <si>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</si>
  <si>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</si>
  <si>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</si>
  <si>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</si>
  <si>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</si>
  <si>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</si>
  <si>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</si>
  <si>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</si>
  <si>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</si>
  <si>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</si>
  <si>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</si>
  <si>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</si>
  <si>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</si>
  <si>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</si>
  <si>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</si>
  <si>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</si>
  <si>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</si>
  <si>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</si>
  <si>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</si>
  <si>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</si>
  <si>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</si>
  <si>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</si>
  <si>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Resultaat</t>
  </si>
  <si>
    <t>[Laat de rode cellen leeg. Excel vult het resultaat automatisch in na beoordeling van de werkprocessen.]</t>
  </si>
  <si>
    <t>Handtekening beoordelaar 1</t>
  </si>
  <si>
    <t>Handtekening beoordelaar 2</t>
  </si>
  <si>
    <t>2F</t>
  </si>
  <si>
    <t>R. Wigmans</t>
  </si>
  <si>
    <t>B.van Helden</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</si>
  <si>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</si>
  <si>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</si>
  <si>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</si>
  <si>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</si>
  <si>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</si>
  <si>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</si>
  <si>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</si>
  <si>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</si>
  <si>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</si>
  <si>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</si>
  <si>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</si>
  <si>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</si>
  <si>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</si>
  <si>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</si>
  <si>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</si>
  <si>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</si>
  <si>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</si>
  <si>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</si>
  <si>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</si>
  <si>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</si>
  <si>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</si>
  <si>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</si>
  <si>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</si>
  <si>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</si>
  <si>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</si>
  <si>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</si>
  <si>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</si>
  <si>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</si>
  <si>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</si>
  <si>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</si>
  <si>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</si>
  <si>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</si>
  <si>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</si>
  <si>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</si>
  <si>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</si>
  <si>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</si>
  <si>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</si>
  <si>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</si>
  <si>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Justin Mank</t>
  </si>
  <si>
    <t>R.Wigmans</t>
  </si>
  <si>
    <t>B.Helden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</si>
</sst>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0" fillId="11" borderId="0" xfId="0"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7">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checked="Checked"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checked="Checked"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checked="Checked"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1082040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1577340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20</v>
      </c>
      <c r="B7" s="90" t="str">
        <f>KerntakenEnWerkprocessen!B7</f>
        <v>[Examennaam]</v>
      </c>
      <c r="C7" s="91"/>
    </row>
    <row r="8" spans="1:6" s="16" customFormat="1" ht="23.25" customHeight="1" x14ac:dyDescent="0.3">
      <c r="A8" s="53" t="s">
        <v>21</v>
      </c>
      <c r="B8" s="90" t="str">
        <f>KerntakenEnWerkprocessen!C7</f>
        <v>[Examencode]</v>
      </c>
      <c r="C8" s="91"/>
    </row>
    <row r="9" spans="1:6" s="16" customFormat="1" ht="23.25" customHeight="1" x14ac:dyDescent="0.3">
      <c r="A9" s="53" t="s">
        <v>22</v>
      </c>
      <c r="B9" s="90" t="str">
        <f>KerntakenEnWerkprocessen!B9</f>
        <v>P1: Software developer, 4</v>
      </c>
      <c r="C9" s="91"/>
    </row>
    <row r="10" spans="1:6" s="16" customFormat="1" ht="23.25" customHeight="1" x14ac:dyDescent="0.3">
      <c r="A10" s="53" t="s">
        <v>23</v>
      </c>
      <c r="B10" s="90" t="str">
        <f>KerntakenEnWerkprocessen!B8</f>
        <v>Software development</v>
      </c>
      <c r="C10" s="91"/>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88" t="str">
        <f>KerntakenEnWerkprocessen!C5</f>
        <v>Werkt in een ontwikkelteam</v>
      </c>
      <c r="C12" s="88"/>
    </row>
    <row r="13" spans="1:6" s="16" customFormat="1" ht="2.1" customHeight="1" x14ac:dyDescent="0.3">
      <c r="A13" s="55"/>
      <c r="B13" s="28"/>
      <c r="C13" s="29"/>
    </row>
    <row r="14" spans="1:6" ht="222.75" customHeight="1" x14ac:dyDescent="0.3">
      <c r="A14" s="56" t="s">
        <v>26</v>
      </c>
      <c r="B14" s="87" t="str">
        <f>KerntakenEnWerkprocessen!F2</f>
        <v xml:space="preserve">B1-K2-W1 Voert overleg
B1-K2-W2 Presenteert het opgeleverde werk
B1-K2-W3 Reflecteert op het werk
</v>
      </c>
      <c r="C14" s="87"/>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2" t="str">
        <f>CONCATENATE(kerntaakCode,": ",kerntaakNaam)</f>
        <v>B1-K2: Werkt in een ontwikkelteam</v>
      </c>
      <c r="C10" s="92"/>
      <c r="D10" s="92"/>
      <c r="E10" s="92"/>
      <c r="F10" s="92"/>
      <c r="G10" s="92"/>
    </row>
    <row r="11" spans="1:7" ht="28.5" customHeight="1" x14ac:dyDescent="0.5">
      <c r="B11" s="93" t="e">
        <f>CONCATENATE(VLOOKUP(B1,werkprocessen,1,FALSE),": ",C1)</f>
        <v>#N/A</v>
      </c>
      <c r="C11" s="93"/>
      <c r="D11" s="93"/>
      <c r="E11" s="93"/>
      <c r="F11" s="93"/>
      <c r="G11" s="93"/>
    </row>
    <row r="13" spans="1:7" ht="24" customHeight="1" x14ac:dyDescent="0.3">
      <c r="B13" s="84" t="s">
        <v>36</v>
      </c>
      <c r="C13" s="85"/>
      <c r="D13" s="85"/>
      <c r="E13" s="85"/>
      <c r="F13" s="85"/>
      <c r="G13" s="86"/>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4" t="s">
        <v>46</v>
      </c>
      <c r="C4" s="94"/>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6"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1082040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1577340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3"/>
  <sheetViews>
    <sheetView topLeftCell="A25" workbookViewId="0">
      <selection activeCell="B13" sqref="B13:C13"/>
    </sheetView>
  </sheetViews>
  <sheetFormatPr defaultRowHeight="14.4" x14ac:dyDescent="0.3"/>
  <cols>
    <col min="1" max="1" width="33.21875" customWidth="1"/>
    <col min="2" max="3" width="33.5546875" customWidth="1"/>
    <col min="4" max="4" width="28.2187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21</v>
      </c>
      <c r="B7" s="90" t="str">
        <f>KerntakenEnWerkprocessen!C7</f>
        <v>[Examencode]</v>
      </c>
      <c r="C7" s="91"/>
    </row>
    <row r="8" spans="1:6" s="16" customFormat="1" ht="23.25" customHeight="1" x14ac:dyDescent="0.3">
      <c r="A8" s="53" t="s">
        <v>22</v>
      </c>
      <c r="B8" s="90" t="str">
        <f>KerntakenEnWerkprocessen!B9</f>
        <v>P1: Software developer, 4</v>
      </c>
      <c r="C8" s="91"/>
    </row>
    <row r="9" spans="1:6" s="16" customFormat="1" ht="23.25" customHeight="1" x14ac:dyDescent="0.3">
      <c r="A9" s="53" t="s">
        <v>23</v>
      </c>
      <c r="B9" s="90" t="str">
        <f>KerntakenEnWerkprocessen!B8</f>
        <v>Software development</v>
      </c>
      <c r="C9" s="91"/>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88" t="str">
        <f>KerntakenEnWerkprocessen!C5</f>
        <v>Werkt in een ontwikkelteam</v>
      </c>
      <c r="C11" s="88"/>
    </row>
    <row r="12" spans="1:6" s="16" customFormat="1" ht="2.1" customHeight="1" x14ac:dyDescent="0.3">
      <c r="A12" s="55"/>
      <c r="B12" s="28"/>
      <c r="C12" s="29"/>
    </row>
    <row r="13" spans="1:6" ht="222.75" customHeight="1" x14ac:dyDescent="0.3">
      <c r="A13" s="56" t="s">
        <v>26</v>
      </c>
      <c r="B13" s="87" t="str">
        <f>KerntakenEnWerkprocessen!F2</f>
        <v xml:space="preserve">B1-K2-W1 Voert overleg
B1-K2-W2 Presenteert het opgeleverde werk
B1-K2-W3 Reflecteert op het werk
</v>
      </c>
      <c r="C13" s="87"/>
      <c r="F13" s="26"/>
    </row>
    <row r="15" spans="1:6" x14ac:dyDescent="0.3">
      <c r="A15" s="100" t="s">
        <v>36</v>
      </c>
      <c r="B15" s="101"/>
      <c r="C15" s="102"/>
    </row>
    <row r="16" spans="1:6" ht="14.25" customHeight="1" x14ac:dyDescent="0.3">
      <c r="A16" s="71" t="s">
        <v>37</v>
      </c>
      <c r="B16" s="103"/>
      <c r="C16" s="104"/>
      <c r="D16" s="72" t="s">
        <v>106</v>
      </c>
    </row>
    <row r="17" spans="1:3" x14ac:dyDescent="0.3">
      <c r="A17" s="71" t="s">
        <v>38</v>
      </c>
      <c r="B17" s="97"/>
      <c r="C17" s="98"/>
    </row>
    <row r="18" spans="1:3" x14ac:dyDescent="0.3">
      <c r="A18" s="71" t="s">
        <v>39</v>
      </c>
      <c r="B18" s="95"/>
      <c r="C18" s="96"/>
    </row>
    <row r="19" spans="1:3" x14ac:dyDescent="0.3">
      <c r="A19" s="71" t="s">
        <v>40</v>
      </c>
      <c r="B19" s="97"/>
      <c r="C19" s="98"/>
    </row>
    <row r="20" spans="1:3" x14ac:dyDescent="0.3">
      <c r="A20" s="71" t="s">
        <v>41</v>
      </c>
      <c r="B20" s="97"/>
      <c r="C20" s="98"/>
    </row>
    <row r="21" spans="1:3" x14ac:dyDescent="0.3">
      <c r="A21" s="71" t="s">
        <v>42</v>
      </c>
      <c r="B21" s="97"/>
      <c r="C21" s="98"/>
    </row>
    <row r="22" spans="1:3" ht="15" thickBot="1" x14ac:dyDescent="0.35"/>
    <row r="23" spans="1:3" ht="15" thickBot="1" x14ac:dyDescent="0.35">
      <c r="A23" s="73" t="s">
        <v>26</v>
      </c>
      <c r="B23" s="74" t="s">
        <v>107</v>
      </c>
      <c r="C23" s="99" t="s">
        <v>108</v>
      </c>
    </row>
    <row r="24" spans="1:3" x14ac:dyDescent="0.3">
      <c r="A24" s="71" t="s">
        <v>63</v>
      </c>
      <c r="B24" s="75">
        <f>'B1-K2-W1'!B45</f>
        <v>8.5</v>
      </c>
      <c r="C24" s="99"/>
    </row>
    <row r="25" spans="1:3" x14ac:dyDescent="0.3">
      <c r="A25" s="71" t="s">
        <v>65</v>
      </c>
      <c r="B25" s="75">
        <f>'B1-K2-W2'!B41</f>
        <v>7</v>
      </c>
      <c r="C25" s="99"/>
    </row>
    <row r="26" spans="1:3" x14ac:dyDescent="0.3">
      <c r="A26" s="71" t="s">
        <v>67</v>
      </c>
      <c r="B26" s="75">
        <f>'B1-K2-W3'!B41</f>
        <v>8</v>
      </c>
      <c r="C26" s="99"/>
    </row>
    <row r="27" spans="1:3" ht="15" thickBot="1" x14ac:dyDescent="0.35"/>
    <row r="28" spans="1:3" ht="15" thickBot="1" x14ac:dyDescent="0.35">
      <c r="A28" s="73" t="s">
        <v>109</v>
      </c>
      <c r="B28" s="73" t="s">
        <v>110</v>
      </c>
    </row>
    <row r="29" spans="1:3" x14ac:dyDescent="0.3">
      <c r="A29" s="76"/>
      <c r="B29" s="76"/>
      <c r="C29" s="77"/>
    </row>
    <row r="30" spans="1:3" x14ac:dyDescent="0.3">
      <c r="A30" s="78"/>
      <c r="B30" s="78"/>
    </row>
    <row r="31" spans="1:3" x14ac:dyDescent="0.3">
      <c r="A31" s="78"/>
      <c r="B31" s="78"/>
    </row>
    <row r="32" spans="1:3" x14ac:dyDescent="0.3">
      <c r="A32" s="78"/>
      <c r="B32" s="78"/>
    </row>
    <row r="33" spans="1:2" ht="15" thickBot="1" x14ac:dyDescent="0.35">
      <c r="A33" s="79"/>
      <c r="B33" s="79"/>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B1-K2-W1: Voert overleg</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v>44720</v>
      </c>
      <c r="D14" s="9"/>
      <c r="E14" s="9"/>
      <c r="F14" s="9"/>
      <c r="G14" s="13"/>
    </row>
    <row r="15" spans="1:7" ht="22.5" customHeight="1" x14ac:dyDescent="0.3">
      <c r="B15" s="57" t="s">
        <v>38</v>
      </c>
      <c r="C15" s="82" t="s">
        <v>152</v>
      </c>
      <c r="D15" s="10"/>
      <c r="E15" s="10"/>
      <c r="F15" s="10"/>
      <c r="G15" s="14"/>
    </row>
    <row r="16" spans="1:7" ht="22.5" customHeight="1" x14ac:dyDescent="0.3">
      <c r="B16" s="57" t="s">
        <v>39</v>
      </c>
      <c r="C16" s="83">
        <v>9012322</v>
      </c>
      <c r="D16" s="10"/>
      <c r="E16" s="10"/>
      <c r="F16" s="10"/>
      <c r="G16" s="14"/>
    </row>
    <row r="17" spans="1:15" ht="22.5" customHeight="1" x14ac:dyDescent="0.3">
      <c r="B17" s="57" t="s">
        <v>40</v>
      </c>
      <c r="C17" s="80" t="s">
        <v>111</v>
      </c>
      <c r="D17" s="10"/>
      <c r="E17" s="10"/>
      <c r="F17" s="10"/>
      <c r="G17" s="14"/>
    </row>
    <row r="18" spans="1:15" ht="22.5" customHeight="1" x14ac:dyDescent="0.3">
      <c r="B18" s="57" t="s">
        <v>41</v>
      </c>
      <c r="C18" s="80" t="s">
        <v>112</v>
      </c>
      <c r="D18" s="10"/>
      <c r="E18" s="10"/>
      <c r="F18" s="10"/>
      <c r="G18" s="14"/>
    </row>
    <row r="19" spans="1:15" ht="22.5" customHeight="1" x14ac:dyDescent="0.3">
      <c r="B19" s="57" t="s">
        <v>42</v>
      </c>
      <c r="C19" s="80" t="s">
        <v>113</v>
      </c>
      <c r="D19" s="10"/>
      <c r="E19" s="10"/>
      <c r="F19" s="10"/>
      <c r="G19" s="14"/>
    </row>
    <row r="20" spans="1:15" ht="23.25" customHeight="1" x14ac:dyDescent="0.3"/>
    <row r="21" spans="1:15" ht="24" customHeight="1" x14ac:dyDescent="0.3">
      <c r="B21" s="106" t="s">
        <v>114</v>
      </c>
      <c r="C21" s="106"/>
      <c r="D21" s="106"/>
      <c r="E21" s="106"/>
      <c r="F21" s="106"/>
      <c r="G21" s="106"/>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0</v>
      </c>
      <c r="L26" s="58" t="b">
        <v>1</v>
      </c>
      <c r="M26" s="58">
        <f>IF(L26=TRUE,3,IF(K26=TRUE,2,IF(J26=TRUE,1,IF(I26=TRUE,0,0))))</f>
        <v>3</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1</v>
      </c>
      <c r="L27" s="58"/>
      <c r="M27" s="58">
        <f>IF(L27=TRUE,3,IF(K27=TRUE,2,IF(J27=TRUE,1,IF(I27=TRUE,0,0))))</f>
        <v>2</v>
      </c>
      <c r="N27" s="58">
        <f>(4-COUNTBLANK(D27:G27))-1</f>
        <v>3</v>
      </c>
      <c r="O27" s="58">
        <f>COUNTA(I27:L27)</f>
        <v>1</v>
      </c>
    </row>
    <row r="29" spans="1:15" ht="28.5" customHeight="1" x14ac:dyDescent="0.5">
      <c r="B29" s="107" t="s">
        <v>129</v>
      </c>
      <c r="C29" s="108"/>
      <c r="D29" s="108"/>
      <c r="E29" s="108"/>
      <c r="F29" s="108"/>
      <c r="G29" s="108"/>
    </row>
    <row r="30" spans="1:15" ht="26.1" customHeight="1" x14ac:dyDescent="0.3">
      <c r="B30" s="65" t="s">
        <v>130</v>
      </c>
    </row>
    <row r="31" spans="1:15" x14ac:dyDescent="0.3">
      <c r="B31" s="67" t="s">
        <v>131</v>
      </c>
      <c r="C31" s="67" t="s">
        <v>132</v>
      </c>
      <c r="D31" s="66" t="s">
        <v>133</v>
      </c>
    </row>
    <row r="32" spans="1:15" x14ac:dyDescent="0.3">
      <c r="B32" s="68">
        <v>0</v>
      </c>
      <c r="C32" s="69">
        <f t="shared" ref="C32:C44" si="0">ROUNDUP(IF(B32&lt;$B$8,4.5/$B$8*B32+1,4.5/($B$4-$B$8)*(B32-$B$8)+5.5),1)</f>
        <v>1</v>
      </c>
      <c r="D32" s="60" t="str">
        <f t="shared" ref="D32:D44" si="1">IF($B32=$B$5,"X","")</f>
        <v/>
      </c>
    </row>
    <row r="33" spans="2:4" x14ac:dyDescent="0.3">
      <c r="B33" s="68">
        <v>1</v>
      </c>
      <c r="C33" s="69">
        <f t="shared" si="0"/>
        <v>1.8</v>
      </c>
      <c r="D33" s="60" t="str">
        <f t="shared" si="1"/>
        <v/>
      </c>
    </row>
    <row r="34" spans="2:4" x14ac:dyDescent="0.3">
      <c r="B34" s="68">
        <v>2</v>
      </c>
      <c r="C34" s="69">
        <f t="shared" si="0"/>
        <v>2.5</v>
      </c>
      <c r="D34" s="60" t="str">
        <f t="shared" si="1"/>
        <v/>
      </c>
    </row>
    <row r="35" spans="2:4" x14ac:dyDescent="0.3">
      <c r="B35" s="68">
        <v>3</v>
      </c>
      <c r="C35" s="69">
        <f t="shared" si="0"/>
        <v>3.3000000000000003</v>
      </c>
      <c r="D35" s="60" t="str">
        <f t="shared" si="1"/>
        <v/>
      </c>
    </row>
    <row r="36" spans="2:4" x14ac:dyDescent="0.3">
      <c r="B36" s="68">
        <v>4</v>
      </c>
      <c r="C36" s="69">
        <f t="shared" si="0"/>
        <v>4</v>
      </c>
      <c r="D36" s="60" t="str">
        <f t="shared" si="1"/>
        <v/>
      </c>
    </row>
    <row r="37" spans="2:4" x14ac:dyDescent="0.3">
      <c r="B37" s="68">
        <v>5</v>
      </c>
      <c r="C37" s="69">
        <f t="shared" si="0"/>
        <v>4.8</v>
      </c>
      <c r="D37" s="60" t="str">
        <f t="shared" si="1"/>
        <v/>
      </c>
    </row>
    <row r="38" spans="2:4" x14ac:dyDescent="0.3">
      <c r="B38" s="68">
        <v>6</v>
      </c>
      <c r="C38" s="69">
        <f t="shared" si="0"/>
        <v>5.5</v>
      </c>
      <c r="D38" s="60" t="str">
        <f t="shared" si="1"/>
        <v/>
      </c>
    </row>
    <row r="39" spans="2:4" x14ac:dyDescent="0.3">
      <c r="B39" s="68">
        <v>7</v>
      </c>
      <c r="C39" s="69">
        <f t="shared" si="0"/>
        <v>6.3</v>
      </c>
      <c r="D39" s="60" t="str">
        <f t="shared" si="1"/>
        <v/>
      </c>
    </row>
    <row r="40" spans="2:4" x14ac:dyDescent="0.3">
      <c r="B40" s="68">
        <v>8</v>
      </c>
      <c r="C40" s="69">
        <f t="shared" si="0"/>
        <v>7</v>
      </c>
      <c r="D40" s="60" t="str">
        <f t="shared" si="1"/>
        <v/>
      </c>
    </row>
    <row r="41" spans="2:4" x14ac:dyDescent="0.3">
      <c r="B41" s="68">
        <v>9</v>
      </c>
      <c r="C41" s="69">
        <f t="shared" si="0"/>
        <v>7.8</v>
      </c>
      <c r="D41" s="60" t="str">
        <f t="shared" si="1"/>
        <v/>
      </c>
    </row>
    <row r="42" spans="2:4" x14ac:dyDescent="0.3">
      <c r="B42" s="68">
        <v>10</v>
      </c>
      <c r="C42" s="69">
        <f t="shared" si="0"/>
        <v>8.5</v>
      </c>
      <c r="D42" s="60" t="str">
        <f t="shared" si="1"/>
        <v>X</v>
      </c>
    </row>
    <row r="43" spans="2:4" x14ac:dyDescent="0.3">
      <c r="B43" s="68">
        <v>11</v>
      </c>
      <c r="C43" s="69">
        <f t="shared" si="0"/>
        <v>9.2999999999999989</v>
      </c>
      <c r="D43" s="60" t="str">
        <f t="shared" si="1"/>
        <v/>
      </c>
    </row>
    <row r="44" spans="2:4" x14ac:dyDescent="0.3">
      <c r="B44" s="68">
        <v>12</v>
      </c>
      <c r="C44" s="69">
        <f t="shared" si="0"/>
        <v>10</v>
      </c>
      <c r="D44" s="60" t="str">
        <f t="shared" si="1"/>
        <v/>
      </c>
    </row>
    <row r="45" spans="2:4" hidden="1" x14ac:dyDescent="0.3">
      <c r="B45" s="68">
        <f>IF(D32="X","",IF(D33="X",C33,IF(D34="X",C34,IF(D35="X",C35,IF(D36="X",C36,IF(D37="X",C37,IF(D38="X",C38,IF(D39="X",C39,IF(D40="X",C40,IF(D41="X",C41,IF(D42="X",C42,IF(D43="X",C43,IF(D44="X",C44,"")))))))))))))</f>
        <v>8.5</v>
      </c>
      <c r="C45" s="69"/>
      <c r="D45" s="60"/>
    </row>
    <row r="47" spans="2:4" ht="26.1" customHeight="1" x14ac:dyDescent="0.3">
      <c r="B47" s="65" t="s">
        <v>134</v>
      </c>
    </row>
    <row r="48" spans="2:4" x14ac:dyDescent="0.3">
      <c r="B48" t="s">
        <v>135</v>
      </c>
    </row>
    <row r="49" spans="2:7" ht="35.1" customHeight="1" x14ac:dyDescent="0.3">
      <c r="B49" s="109" t="s">
        <v>7</v>
      </c>
      <c r="C49" s="109"/>
      <c r="D49" s="109"/>
      <c r="E49" s="109"/>
      <c r="F49" s="109"/>
      <c r="G49" s="109"/>
    </row>
    <row r="50" spans="2:7" ht="300" customHeight="1" x14ac:dyDescent="0.3">
      <c r="B50" s="105"/>
      <c r="C50" s="105"/>
      <c r="D50" s="105"/>
      <c r="E50" s="105"/>
      <c r="F50" s="105"/>
      <c r="G50" s="105"/>
    </row>
    <row r="52" spans="2:7" ht="26.1" customHeight="1" x14ac:dyDescent="0.3">
      <c r="B52" s="65" t="s">
        <v>136</v>
      </c>
    </row>
    <row r="53" spans="2:7" x14ac:dyDescent="0.3">
      <c r="B53" s="70" t="s">
        <v>137</v>
      </c>
    </row>
    <row r="54" spans="2:7" x14ac:dyDescent="0.3">
      <c r="B54" t="s">
        <v>138</v>
      </c>
    </row>
    <row r="57" spans="2:7" x14ac:dyDescent="0.3">
      <c r="B57" t="s">
        <v>139</v>
      </c>
    </row>
    <row r="58" spans="2:7" ht="50.1" customHeight="1" x14ac:dyDescent="0.3">
      <c r="B58" s="105"/>
      <c r="C58" s="105"/>
      <c r="D58" s="105"/>
      <c r="E58" s="105"/>
      <c r="F58" s="105"/>
      <c r="G58" s="105"/>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3"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B1-K2-W2: Presenteert het opgeleverde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v>44720</v>
      </c>
      <c r="D14" s="9"/>
      <c r="E14" s="9"/>
      <c r="F14" s="9"/>
      <c r="G14" s="13"/>
    </row>
    <row r="15" spans="1:7" ht="22.5" customHeight="1" x14ac:dyDescent="0.3">
      <c r="B15" s="57" t="s">
        <v>38</v>
      </c>
      <c r="C15" s="82" t="s">
        <v>152</v>
      </c>
      <c r="D15" s="10"/>
      <c r="E15" s="10"/>
      <c r="F15" s="10"/>
      <c r="G15" s="14"/>
    </row>
    <row r="16" spans="1:7" ht="22.5" customHeight="1" x14ac:dyDescent="0.3">
      <c r="B16" s="57" t="s">
        <v>39</v>
      </c>
      <c r="C16" s="83">
        <v>9012322</v>
      </c>
      <c r="D16" s="10"/>
      <c r="E16" s="10"/>
      <c r="F16" s="10"/>
      <c r="G16" s="14"/>
    </row>
    <row r="17" spans="1:15" ht="22.5" customHeight="1" x14ac:dyDescent="0.3">
      <c r="B17" s="57" t="s">
        <v>40</v>
      </c>
      <c r="C17" s="80" t="s">
        <v>111</v>
      </c>
      <c r="D17" s="10"/>
      <c r="E17" s="10"/>
      <c r="F17" s="10"/>
      <c r="G17" s="14"/>
    </row>
    <row r="18" spans="1:15" ht="22.5" customHeight="1" x14ac:dyDescent="0.3">
      <c r="B18" s="57" t="s">
        <v>41</v>
      </c>
      <c r="C18" s="80" t="s">
        <v>153</v>
      </c>
      <c r="D18" s="10"/>
      <c r="E18" s="10"/>
      <c r="F18" s="10"/>
      <c r="G18" s="14"/>
    </row>
    <row r="19" spans="1:15" ht="22.5" customHeight="1" x14ac:dyDescent="0.3">
      <c r="B19" s="57" t="s">
        <v>42</v>
      </c>
      <c r="C19" s="80" t="s">
        <v>154</v>
      </c>
      <c r="D19" s="10"/>
      <c r="E19" s="10"/>
      <c r="F19" s="10"/>
      <c r="G19" s="14"/>
    </row>
    <row r="20" spans="1:15" ht="23.25" customHeight="1" x14ac:dyDescent="0.3"/>
    <row r="21" spans="1:15" ht="24" customHeight="1" x14ac:dyDescent="0.3">
      <c r="B21" s="106" t="s">
        <v>140</v>
      </c>
      <c r="C21" s="106"/>
      <c r="D21" s="106"/>
      <c r="E21" s="106"/>
      <c r="F21" s="106"/>
      <c r="G21" s="106"/>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t="b">
        <v>1</v>
      </c>
      <c r="L24" s="58"/>
      <c r="M24" s="58">
        <f>IF(L24=TRUE,3,IF(K24=TRUE,2,IF(J24=TRUE,1,IF(I24=TRUE,0,0))))</f>
        <v>2</v>
      </c>
      <c r="N24" s="58">
        <f>(4-COUNTBLANK(D24:G24))-1</f>
        <v>3</v>
      </c>
      <c r="O24" s="58">
        <f>COUNTA(I24:L24)</f>
        <v>2</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8" spans="1:15" ht="28.5" customHeight="1" x14ac:dyDescent="0.5">
      <c r="B28" s="107" t="s">
        <v>145</v>
      </c>
      <c r="C28" s="108"/>
      <c r="D28" s="108"/>
      <c r="E28" s="108"/>
      <c r="F28" s="108"/>
      <c r="G28" s="108"/>
    </row>
    <row r="29" spans="1:15" ht="26.1" customHeight="1" x14ac:dyDescent="0.3">
      <c r="B29" s="65" t="s">
        <v>130</v>
      </c>
    </row>
    <row r="30" spans="1:15" x14ac:dyDescent="0.3">
      <c r="B30" s="67" t="s">
        <v>131</v>
      </c>
      <c r="C30" s="67" t="s">
        <v>132</v>
      </c>
      <c r="D30" s="66" t="s">
        <v>133</v>
      </c>
    </row>
    <row r="31" spans="1:15" x14ac:dyDescent="0.3">
      <c r="B31" s="68">
        <v>0</v>
      </c>
      <c r="C31" s="69">
        <f t="shared" ref="C31:C40" si="0">ROUNDUP(IF(B31&lt;$B$8,4.5/$B$8*B31+1,4.5/($B$4-$B$8)*(B31-$B$8)+5.5),1)</f>
        <v>1</v>
      </c>
      <c r="D31" s="60" t="str">
        <f t="shared" ref="D31:D40" si="1">IF($B31=$B$5,"X","")</f>
        <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X</v>
      </c>
    </row>
    <row r="38" spans="2:7" x14ac:dyDescent="0.3">
      <c r="B38" s="68">
        <v>7</v>
      </c>
      <c r="C38" s="69">
        <f t="shared" si="0"/>
        <v>8</v>
      </c>
      <c r="D38" s="60" t="str">
        <f t="shared" si="1"/>
        <v/>
      </c>
    </row>
    <row r="39" spans="2:7" x14ac:dyDescent="0.3">
      <c r="B39" s="68">
        <v>8</v>
      </c>
      <c r="C39" s="69">
        <f t="shared" si="0"/>
        <v>9</v>
      </c>
      <c r="D39" s="60" t="str">
        <f t="shared" si="1"/>
        <v/>
      </c>
    </row>
    <row r="40" spans="2:7" x14ac:dyDescent="0.3">
      <c r="B40" s="68">
        <v>9</v>
      </c>
      <c r="C40" s="69">
        <f t="shared" si="0"/>
        <v>10</v>
      </c>
      <c r="D40" s="60" t="str">
        <f t="shared" si="1"/>
        <v/>
      </c>
    </row>
    <row r="41" spans="2:7" ht="15" hidden="1" customHeight="1" x14ac:dyDescent="0.3">
      <c r="B41" s="68">
        <f>IF(D31="X","",IF(D32="X",C32,IF(D33="X",C33,IF(D34="X",C34,IF(D35="X",C35,IF(D36="X",C36,IF(D37="X",C37,IF(D38="X",C38,IF(D39="X",C39,IF(D40="X",C40,""))))))))))</f>
        <v>7</v>
      </c>
      <c r="C41" s="69"/>
      <c r="D41" s="60"/>
    </row>
    <row r="43" spans="2:7" ht="26.1" customHeight="1" x14ac:dyDescent="0.3">
      <c r="B43" s="65" t="s">
        <v>134</v>
      </c>
    </row>
    <row r="44" spans="2:7" x14ac:dyDescent="0.3">
      <c r="B44" t="s">
        <v>135</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136</v>
      </c>
    </row>
    <row r="49" spans="2:7" x14ac:dyDescent="0.3">
      <c r="B49" s="70" t="s">
        <v>137</v>
      </c>
    </row>
    <row r="50" spans="2:7" x14ac:dyDescent="0.3">
      <c r="B50" t="s">
        <v>138</v>
      </c>
    </row>
    <row r="53" spans="2:7" x14ac:dyDescent="0.3">
      <c r="B53" t="s">
        <v>139</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46"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B1-K2-W3: Reflecteert op het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v>44720</v>
      </c>
      <c r="D14" s="9"/>
      <c r="E14" s="9"/>
      <c r="F14" s="9"/>
      <c r="G14" s="13"/>
    </row>
    <row r="15" spans="1:7" ht="22.5" customHeight="1" x14ac:dyDescent="0.3">
      <c r="B15" s="57" t="s">
        <v>38</v>
      </c>
      <c r="C15" s="82" t="s">
        <v>152</v>
      </c>
      <c r="D15" s="10"/>
      <c r="E15" s="10"/>
      <c r="F15" s="10"/>
      <c r="G15" s="14"/>
    </row>
    <row r="16" spans="1:7" ht="22.5" customHeight="1" x14ac:dyDescent="0.3">
      <c r="B16" s="57" t="s">
        <v>39</v>
      </c>
      <c r="C16" s="83">
        <v>9012322</v>
      </c>
      <c r="D16" s="10"/>
      <c r="E16" s="10"/>
      <c r="F16" s="10"/>
      <c r="G16" s="14"/>
    </row>
    <row r="17" spans="1:15" ht="22.5" customHeight="1" x14ac:dyDescent="0.3">
      <c r="B17" s="57" t="s">
        <v>40</v>
      </c>
      <c r="C17" s="80" t="s">
        <v>111</v>
      </c>
      <c r="D17" s="10"/>
      <c r="E17" s="10"/>
      <c r="F17" s="10"/>
      <c r="G17" s="14"/>
    </row>
    <row r="18" spans="1:15" ht="22.5" customHeight="1" x14ac:dyDescent="0.3">
      <c r="B18" s="57" t="s">
        <v>41</v>
      </c>
      <c r="C18" s="80" t="s">
        <v>153</v>
      </c>
      <c r="D18" s="10"/>
      <c r="E18" s="10"/>
      <c r="F18" s="10"/>
      <c r="G18" s="14"/>
    </row>
    <row r="19" spans="1:15" ht="22.5" customHeight="1" x14ac:dyDescent="0.3">
      <c r="B19" s="57" t="s">
        <v>42</v>
      </c>
      <c r="C19" s="80" t="s">
        <v>154</v>
      </c>
      <c r="D19" s="10"/>
      <c r="E19" s="10"/>
      <c r="F19" s="10"/>
      <c r="G19" s="14"/>
    </row>
    <row r="20" spans="1:15" ht="23.25" customHeight="1" x14ac:dyDescent="0.3"/>
    <row r="21" spans="1:15" ht="24" customHeight="1" x14ac:dyDescent="0.3">
      <c r="B21" s="106" t="s">
        <v>146</v>
      </c>
      <c r="C21" s="106"/>
      <c r="D21" s="106"/>
      <c r="E21" s="106"/>
      <c r="F21" s="106"/>
      <c r="G21" s="106"/>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1</v>
      </c>
      <c r="L24" s="58" t="b">
        <v>0</v>
      </c>
      <c r="M24" s="58">
        <f>IF(L24=TRUE,3,IF(K24=TRUE,2,IF(J24=TRUE,1,IF(I24=TRUE,0,0))))</f>
        <v>2</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t="b">
        <v>1</v>
      </c>
      <c r="M25" s="58">
        <f>IF(L25=TRUE,3,IF(K25=TRUE,2,IF(J25=TRUE,1,IF(I25=TRUE,0,0))))</f>
        <v>3</v>
      </c>
      <c r="N25" s="58">
        <f>(4-COUNTBLANK(D25:G25))-1</f>
        <v>3</v>
      </c>
      <c r="O25" s="58">
        <f>COUNTA(I25:L25)</f>
        <v>1</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c r="M26" s="58">
        <f>IF(L26=TRUE,3,IF(K26=TRUE,2,IF(J26=TRUE,1,IF(I26=TRUE,0,0))))</f>
        <v>2</v>
      </c>
      <c r="N26" s="58">
        <f>(4-COUNTBLANK(D26:G26))-1</f>
        <v>3</v>
      </c>
      <c r="O26" s="58">
        <f>COUNTA(I26:L26)</f>
        <v>1</v>
      </c>
    </row>
    <row r="28" spans="1:15" ht="28.5" customHeight="1" x14ac:dyDescent="0.5">
      <c r="B28" s="107" t="s">
        <v>151</v>
      </c>
      <c r="C28" s="108"/>
      <c r="D28" s="108"/>
      <c r="E28" s="108"/>
      <c r="F28" s="108"/>
      <c r="G28" s="108"/>
    </row>
    <row r="29" spans="1:15" ht="26.1" customHeight="1" x14ac:dyDescent="0.3">
      <c r="B29" s="65" t="s">
        <v>130</v>
      </c>
    </row>
    <row r="30" spans="1:15" x14ac:dyDescent="0.3">
      <c r="B30" s="67" t="s">
        <v>131</v>
      </c>
      <c r="C30" s="67" t="s">
        <v>132</v>
      </c>
      <c r="D30" s="66" t="s">
        <v>133</v>
      </c>
    </row>
    <row r="31" spans="1:15" x14ac:dyDescent="0.3">
      <c r="B31" s="68">
        <v>0</v>
      </c>
      <c r="C31" s="69">
        <f t="shared" ref="C31:C40" si="0">ROUNDUP(IF(B31&lt;$B$8,4.5/$B$8*B31+1,4.5/($B$4-$B$8)*(B31-$B$8)+5.5),1)</f>
        <v>1</v>
      </c>
      <c r="D31" s="60" t="str">
        <f t="shared" ref="D31:D40" si="1">IF($B31=$B$5,"X","")</f>
        <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
      </c>
    </row>
    <row r="38" spans="2:7" x14ac:dyDescent="0.3">
      <c r="B38" s="68">
        <v>7</v>
      </c>
      <c r="C38" s="69">
        <f t="shared" si="0"/>
        <v>8</v>
      </c>
      <c r="D38" s="60" t="str">
        <f t="shared" si="1"/>
        <v>X</v>
      </c>
    </row>
    <row r="39" spans="2:7" x14ac:dyDescent="0.3">
      <c r="B39" s="68">
        <v>8</v>
      </c>
      <c r="C39" s="69">
        <f t="shared" si="0"/>
        <v>9</v>
      </c>
      <c r="D39" s="60" t="str">
        <f t="shared" si="1"/>
        <v/>
      </c>
    </row>
    <row r="40" spans="2:7" x14ac:dyDescent="0.3">
      <c r="B40" s="68">
        <v>9</v>
      </c>
      <c r="C40" s="69">
        <f t="shared" si="0"/>
        <v>10</v>
      </c>
      <c r="D40" s="60" t="str">
        <f t="shared" si="1"/>
        <v/>
      </c>
    </row>
    <row r="41" spans="2:7" hidden="1" x14ac:dyDescent="0.3">
      <c r="B41" s="68">
        <f>IF(D31="X","",IF(D32="X",C32,IF(D33="X",C33,IF(D34="X",C34,IF(D35="X",C35,IF(D36="X",C36,IF(D37="X",C37,IF(D38="X",C38,IF(D39="X",C39,IF(D40="X",C40,""))))))))))</f>
        <v>8</v>
      </c>
      <c r="C41" s="69"/>
      <c r="D41" s="60"/>
    </row>
    <row r="43" spans="2:7" ht="26.1" customHeight="1" x14ac:dyDescent="0.3">
      <c r="B43" s="65" t="s">
        <v>134</v>
      </c>
    </row>
    <row r="44" spans="2:7" x14ac:dyDescent="0.3">
      <c r="B44" t="s">
        <v>135</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136</v>
      </c>
    </row>
    <row r="49" spans="2:7" x14ac:dyDescent="0.3">
      <c r="B49" s="70" t="s">
        <v>137</v>
      </c>
    </row>
    <row r="50" spans="2:7" x14ac:dyDescent="0.3">
      <c r="B50" t="s">
        <v>138</v>
      </c>
    </row>
    <row r="53" spans="2:7" x14ac:dyDescent="0.3">
      <c r="B53" t="s">
        <v>139</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df82eecd-322d-4d9b-845e-ad1a1b1d6fc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437335486861E4B9A1EB9E353FB573C" ma:contentTypeVersion="14" ma:contentTypeDescription="Een nieuw document maken." ma:contentTypeScope="" ma:versionID="0f72c6f90f79e701a6c92608379e5765">
  <xsd:schema xmlns:xsd="http://www.w3.org/2001/XMLSchema" xmlns:xs="http://www.w3.org/2001/XMLSchema" xmlns:p="http://schemas.microsoft.com/office/2006/metadata/properties" xmlns:ns2="df82eecd-322d-4d9b-845e-ad1a1b1d6fcb" xmlns:ns3="f42d4137-2caa-477a-a104-2d6f6c4a3535" targetNamespace="http://schemas.microsoft.com/office/2006/metadata/properties" ma:root="true" ma:fieldsID="27e0f8763a3e714b4726a936cf64d3f6" ns2:_="" ns3:_="">
    <xsd:import namespace="df82eecd-322d-4d9b-845e-ad1a1b1d6fcb"/>
    <xsd:import namespace="f42d4137-2caa-477a-a104-2d6f6c4a35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2eecd-322d-4d9b-845e-ad1a1b1d6fc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42d4137-2caa-477a-a104-2d6f6c4a3535" elementFormDefault="qualified">
    <xsd:import namespace="http://schemas.microsoft.com/office/2006/documentManagement/types"/>
    <xsd:import namespace="http://schemas.microsoft.com/office/infopath/2007/PartnerControls"/>
    <xsd:element name="SharedWithUsers" ma:index="2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f82eecd-322d-4d9b-845e-ad1a1b1d6fcb"/>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24CE84FE-BCE7-4EEF-8D51-DF682F0F2C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82eecd-322d-4d9b-845e-ad1a1b1d6fcb"/>
    <ds:schemaRef ds:uri="f42d4137-2caa-477a-a104-2d6f6c4a35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Justin Mank</cp:lastModifiedBy>
  <cp:revision/>
  <dcterms:created xsi:type="dcterms:W3CDTF">2015-10-30T11:14:52Z</dcterms:created>
  <dcterms:modified xsi:type="dcterms:W3CDTF">2023-11-02T22:28:25Z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0x0101003437335486861E4B9A1EB9E353FB573C</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